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vincienergies.sharepoint.com/sites/GO-MauritaPlanning/Documents partages/07 - Market Exploration/03 - PttoC ecosystem/Claude/"/>
    </mc:Choice>
  </mc:AlternateContent>
  <xr:revisionPtr revIDLastSave="169" documentId="11_F832041BB3E0B337651AF08288E000C13B406382" xr6:coauthVersionLast="47" xr6:coauthVersionMax="47" xr10:uidLastSave="{9A346E56-9FBA-4C43-B2CC-2801D6FC8FDD}"/>
  <bookViews>
    <workbookView xWindow="4245" yWindow="1080" windowWidth="21600" windowHeight="11295" xr2:uid="{00000000-000D-0000-FFFF-FFFF00000000}"/>
  </bookViews>
  <sheets>
    <sheet name="Packages" sheetId="1" r:id="rId1"/>
    <sheet name="Cost and pric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B4" i="2" s="1"/>
  <c r="C3" i="2"/>
  <c r="B3" i="2" s="1"/>
  <c r="C5" i="2"/>
  <c r="B5" i="2" s="1"/>
  <c r="C6" i="2"/>
  <c r="B6" i="2" s="1"/>
  <c r="C7" i="2"/>
  <c r="B7" i="2" s="1"/>
  <c r="C8" i="2"/>
  <c r="B8" i="2" s="1"/>
  <c r="C9" i="2"/>
  <c r="B9" i="2" s="1"/>
  <c r="C10" i="2"/>
  <c r="B10" i="2" s="1"/>
  <c r="C11" i="2"/>
  <c r="B11" i="2" s="1"/>
  <c r="C12" i="2"/>
  <c r="B12" i="2" s="1"/>
  <c r="C13" i="2"/>
  <c r="B13" i="2" s="1"/>
  <c r="C14" i="2"/>
  <c r="B14" i="2" s="1"/>
  <c r="C15" i="2"/>
  <c r="B15" i="2" s="1"/>
</calcChain>
</file>

<file path=xl/sharedStrings.xml><?xml version="1.0" encoding="utf-8"?>
<sst xmlns="http://schemas.openxmlformats.org/spreadsheetml/2006/main" count="113" uniqueCount="65">
  <si>
    <t>Feature</t>
  </si>
  <si>
    <t>Essentials</t>
  </si>
  <si>
    <t>Standard</t>
  </si>
  <si>
    <t>Premium</t>
  </si>
  <si>
    <t>Devices &amp; accessories</t>
  </si>
  <si>
    <t>PTT Application</t>
  </si>
  <si>
    <t>Integration only</t>
  </si>
  <si>
    <t>Integration + Custom UI</t>
  </si>
  <si>
    <t>SOTI MDM</t>
  </si>
  <si>
    <t>–</t>
  </si>
  <si>
    <t>Mobicontrol</t>
  </si>
  <si>
    <t>Mobicontrol XS</t>
  </si>
  <si>
    <t>SIM / Connectivity</t>
  </si>
  <si>
    <t>Voice + Data</t>
  </si>
  <si>
    <t>KPI Monitoring</t>
  </si>
  <si>
    <t>✔</t>
  </si>
  <si>
    <t>Digital Training</t>
  </si>
  <si>
    <t>Update Consultation</t>
  </si>
  <si>
    <t>On-site Training</t>
  </si>
  <si>
    <t>Support Hours</t>
  </si>
  <si>
    <t>Business hours</t>
  </si>
  <si>
    <t>24/7</t>
  </si>
  <si>
    <t>Device Swap Time</t>
  </si>
  <si>
    <t>&lt; 96 h</t>
  </si>
  <si>
    <t>&lt; 48 h</t>
  </si>
  <si>
    <t>&lt; 24 h</t>
  </si>
  <si>
    <t>Audit Service</t>
  </si>
  <si>
    <t>Add-on pricing &amp; costs (per device per year unless noted)</t>
  </si>
  <si>
    <t>Your cost (€/dev/yr)</t>
  </si>
  <si>
    <t>Type</t>
  </si>
  <si>
    <t>Notes</t>
  </si>
  <si>
    <t>SOTI Mobicontrol MDM</t>
  </si>
  <si>
    <t>recurring</t>
  </si>
  <si>
    <t>Stand-alone MDM; incl. in Standard/Premium at lower cost</t>
  </si>
  <si>
    <t>SOTI Mobicontrol XS MDM</t>
  </si>
  <si>
    <t>Advanced MDM; incl. in Premium at lower cost</t>
  </si>
  <si>
    <t>Essentials, Standard</t>
  </si>
  <si>
    <t>SIM Voice only</t>
  </si>
  <si>
    <t>Voice only SIM</t>
  </si>
  <si>
    <t>SIM Voice + Data</t>
  </si>
  <si>
    <t>Voice + Data SIM; incl. in Standard/Premium</t>
  </si>
  <si>
    <t>Custom PTT UI</t>
  </si>
  <si>
    <t>oneoff</t>
  </si>
  <si>
    <t>One-off dev cost; incl. in Premium</t>
  </si>
  <si>
    <t>On-site training (2h)</t>
  </si>
  <si>
    <t>Per session (not per device)</t>
  </si>
  <si>
    <t>Extended warranty (+1yr)</t>
  </si>
  <si>
    <t>Extra warranty year beyond standard 5yr</t>
  </si>
  <si>
    <t>All</t>
  </si>
  <si>
    <t>Audit service</t>
  </si>
  <si>
    <t>Per audit event</t>
  </si>
  <si>
    <t>24/7 support upgrade</t>
  </si>
  <si>
    <t>Upgrade to 24/7; incl. in Premium</t>
  </si>
  <si>
    <t>Package price (€/dev/yr)</t>
  </si>
  <si>
    <t>Cannot be combined with</t>
  </si>
  <si>
    <t>Device swap time &lt; 48 h</t>
  </si>
  <si>
    <t>Device swap time &lt; 24 h</t>
  </si>
  <si>
    <t>Increase swap speed</t>
  </si>
  <si>
    <t>Add-on price (€/dev/yr)</t>
  </si>
  <si>
    <t>Element</t>
  </si>
  <si>
    <t>Available for packages to add-on</t>
  </si>
  <si>
    <t>Device standard</t>
  </si>
  <si>
    <t>Device premium</t>
  </si>
  <si>
    <t>Crosscall standard device</t>
  </si>
  <si>
    <t>Crosscall premium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</si>
</sst>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2"/>
      <name val="Arial"/>
    </font>
    <font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A"/>
      </patternFill>
    </fill>
    <fill>
      <patternFill patternType="solid">
        <fgColor rgb="FFEEF2FA"/>
        <bgColor indexed="64"/>
      </patternFill>
    </fill>
  </fills>
  <borders count="11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/>
      <top style="thin">
        <color rgb="FFBBBBBB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4" fontId="5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4" fontId="5" fillId="4" borderId="9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4" fontId="5" fillId="4" borderId="6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EEF2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EEF2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EF2FA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EF2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EF2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EF2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EEF2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EF2FA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border outline="0">
        <left style="thin">
          <color rgb="FFBBBBBB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BBBBBB"/>
        </left>
        <right/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border outline="0">
        <top style="thin">
          <color rgb="FFBBBBBB"/>
        </top>
      </border>
    </dxf>
    <dxf>
      <border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rgb="FFBBBBB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4B48D2-59BF-4C6A-AD84-156E61CEEE22}" name="Table2" displayName="Table2" ref="A1:D12" totalsRowShown="0" headerRowDxfId="18" dataDxfId="16" headerRowBorderDxfId="17" tableBorderDxfId="15" totalsRowBorderDxfId="14">
  <autoFilter ref="A1:D12" xr:uid="{014B48D2-59BF-4C6A-AD84-156E61CEEE22}"/>
  <tableColumns count="4">
    <tableColumn id="1" xr3:uid="{35EF3689-5CC4-4A76-87BB-C76690E18706}" name="Feature" dataDxfId="13"/>
    <tableColumn id="3" xr3:uid="{8FF258ED-5240-4458-B434-37091E1B99A1}" name="Essentials" dataDxfId="12"/>
    <tableColumn id="4" xr3:uid="{B4718C21-77F4-4960-A285-F8284BCC0B4B}" name="Standard" dataDxfId="11"/>
    <tableColumn id="5" xr3:uid="{A4A5730E-DCC2-4232-B788-435A7E3717B1}" name="Premium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449BFC-1A3E-41E7-B9A5-106FC58DD292}" name="Table1" displayName="Table1" ref="A2:H15" totalsRowShown="0" headerRowDxfId="9" dataDxfId="2" tableBorderDxfId="8">
  <autoFilter ref="A2:H15" xr:uid="{F0449BFC-1A3E-41E7-B9A5-106FC58DD292}"/>
  <tableColumns count="8">
    <tableColumn id="1" xr3:uid="{0C9285C4-B6BD-4161-A3AD-C20FEBC8684A}" name="Element" dataDxfId="7"/>
    <tableColumn id="2" xr3:uid="{081DB7F7-E26D-4D9B-B1DC-D3DF8755A139}" name="Add-on price (€/dev/yr)" dataDxfId="1">
      <calculatedColumnFormula>C3*1.3</calculatedColumnFormula>
    </tableColumn>
    <tableColumn id="3" xr3:uid="{464B7766-AD0E-4CF5-A36B-B6206DDDCE48}" name="Package price (€/dev/yr)" dataDxfId="0">
      <calculatedColumnFormula>D3*1.3</calculatedColumnFormula>
    </tableColumn>
    <tableColumn id="4" xr3:uid="{C59FF9A1-074D-4596-93CE-B3708C2D9E31}" name="Your cost (€/dev/yr)" dataDxfId="6"/>
    <tableColumn id="5" xr3:uid="{1F394ED3-2CC2-44BB-9ADB-6D67977F9849}" name="Type" dataDxfId="5"/>
    <tableColumn id="6" xr3:uid="{6F0893C6-7C11-4479-84CC-EF921DD98ED9}" name="Notes" dataDxfId="4"/>
    <tableColumn id="7" xr3:uid="{62C6345D-AF8E-4F01-95A7-07AAF34D03BC}" name="Available for packages to add-on" dataDxfId="3"/>
    <tableColumn id="8" xr3:uid="{25B7EBE4-6D88-4735-AA62-64942DE696CD}" name="Cannot be combined wi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topLeftCell="A5" workbookViewId="0">
      <selection activeCell="C11" sqref="C11"/>
    </sheetView>
  </sheetViews>
  <sheetFormatPr defaultRowHeight="15" x14ac:dyDescent="0.25"/>
  <cols>
    <col min="1" max="1" width="24" customWidth="1"/>
    <col min="2" max="4" width="26" customWidth="1"/>
  </cols>
  <sheetData>
    <row r="1" spans="1:4" x14ac:dyDescent="0.25">
      <c r="A1" s="10" t="s">
        <v>0</v>
      </c>
      <c r="B1" s="11" t="s">
        <v>1</v>
      </c>
      <c r="C1" s="11" t="s">
        <v>2</v>
      </c>
      <c r="D1" s="12" t="s">
        <v>3</v>
      </c>
    </row>
    <row r="2" spans="1:4" ht="36" customHeight="1" x14ac:dyDescent="0.25">
      <c r="A2" s="7" t="s">
        <v>4</v>
      </c>
      <c r="B2" s="24" t="s">
        <v>63</v>
      </c>
      <c r="C2" s="24" t="s">
        <v>63</v>
      </c>
      <c r="D2" s="17" t="s">
        <v>64</v>
      </c>
    </row>
    <row r="3" spans="1:4" ht="36" customHeight="1" x14ac:dyDescent="0.25">
      <c r="A3" s="7" t="s">
        <v>5</v>
      </c>
      <c r="B3" s="3" t="s">
        <v>6</v>
      </c>
      <c r="C3" s="3" t="s">
        <v>6</v>
      </c>
      <c r="D3" s="9" t="s">
        <v>7</v>
      </c>
    </row>
    <row r="4" spans="1:4" ht="36" customHeight="1" x14ac:dyDescent="0.25">
      <c r="A4" s="7" t="s">
        <v>8</v>
      </c>
      <c r="B4" s="2" t="s">
        <v>9</v>
      </c>
      <c r="C4" s="2" t="s">
        <v>10</v>
      </c>
      <c r="D4" s="8" t="s">
        <v>11</v>
      </c>
    </row>
    <row r="5" spans="1:4" ht="36" customHeight="1" x14ac:dyDescent="0.25">
      <c r="A5" s="7" t="s">
        <v>12</v>
      </c>
      <c r="B5" s="3" t="s">
        <v>9</v>
      </c>
      <c r="C5" s="3" t="s">
        <v>13</v>
      </c>
      <c r="D5" s="9" t="s">
        <v>13</v>
      </c>
    </row>
    <row r="6" spans="1:4" ht="36" customHeight="1" x14ac:dyDescent="0.25">
      <c r="A6" s="7" t="s">
        <v>14</v>
      </c>
      <c r="B6" s="2" t="s">
        <v>15</v>
      </c>
      <c r="C6" s="2" t="s">
        <v>15</v>
      </c>
      <c r="D6" s="8" t="s">
        <v>15</v>
      </c>
    </row>
    <row r="7" spans="1:4" ht="36" customHeight="1" x14ac:dyDescent="0.25">
      <c r="A7" s="7" t="s">
        <v>16</v>
      </c>
      <c r="B7" s="3" t="s">
        <v>15</v>
      </c>
      <c r="C7" s="3" t="s">
        <v>15</v>
      </c>
      <c r="D7" s="9" t="s">
        <v>15</v>
      </c>
    </row>
    <row r="8" spans="1:4" ht="36" customHeight="1" x14ac:dyDescent="0.25">
      <c r="A8" s="7" t="s">
        <v>17</v>
      </c>
      <c r="B8" s="2" t="s">
        <v>15</v>
      </c>
      <c r="C8" s="2" t="s">
        <v>15</v>
      </c>
      <c r="D8" s="8" t="s">
        <v>15</v>
      </c>
    </row>
    <row r="9" spans="1:4" ht="36" customHeight="1" x14ac:dyDescent="0.25">
      <c r="A9" s="7" t="s">
        <v>18</v>
      </c>
      <c r="B9" s="3" t="s">
        <v>9</v>
      </c>
      <c r="C9" s="3" t="s">
        <v>15</v>
      </c>
      <c r="D9" s="9" t="s">
        <v>15</v>
      </c>
    </row>
    <row r="10" spans="1:4" ht="36" customHeight="1" x14ac:dyDescent="0.25">
      <c r="A10" s="7" t="s">
        <v>19</v>
      </c>
      <c r="B10" s="2" t="s">
        <v>20</v>
      </c>
      <c r="C10" s="2" t="s">
        <v>20</v>
      </c>
      <c r="D10" s="8" t="s">
        <v>21</v>
      </c>
    </row>
    <row r="11" spans="1:4" ht="36" customHeight="1" x14ac:dyDescent="0.25">
      <c r="A11" s="7" t="s">
        <v>22</v>
      </c>
      <c r="B11" s="2" t="s">
        <v>23</v>
      </c>
      <c r="C11" s="2" t="s">
        <v>24</v>
      </c>
      <c r="D11" s="8" t="s">
        <v>25</v>
      </c>
    </row>
    <row r="12" spans="1:4" ht="36" customHeight="1" x14ac:dyDescent="0.25">
      <c r="A12" s="13" t="s">
        <v>26</v>
      </c>
      <c r="B12" s="14" t="s">
        <v>9</v>
      </c>
      <c r="C12" s="14" t="s">
        <v>9</v>
      </c>
      <c r="D12" s="15" t="s">
        <v>15</v>
      </c>
    </row>
    <row r="13" spans="1:4" ht="36" customHeight="1" x14ac:dyDescent="0.25"/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selection activeCell="D8" sqref="D8"/>
    </sheetView>
  </sheetViews>
  <sheetFormatPr defaultRowHeight="15" x14ac:dyDescent="0.25"/>
  <cols>
    <col min="1" max="1" width="28" customWidth="1"/>
    <col min="2" max="2" width="22" customWidth="1"/>
    <col min="3" max="3" width="25" customWidth="1"/>
    <col min="4" max="4" width="22" customWidth="1"/>
    <col min="5" max="5" width="12.28515625" customWidth="1"/>
    <col min="6" max="6" width="40" customWidth="1"/>
    <col min="7" max="7" width="23.85546875" customWidth="1"/>
    <col min="8" max="8" width="26.7109375" customWidth="1"/>
  </cols>
  <sheetData>
    <row r="1" spans="1:8" ht="15.75" x14ac:dyDescent="0.25">
      <c r="A1" s="4" t="s">
        <v>27</v>
      </c>
    </row>
    <row r="2" spans="1:8" x14ac:dyDescent="0.25">
      <c r="A2" s="6" t="s">
        <v>59</v>
      </c>
      <c r="B2" s="1" t="s">
        <v>58</v>
      </c>
      <c r="C2" s="1" t="s">
        <v>53</v>
      </c>
      <c r="D2" s="1" t="s">
        <v>28</v>
      </c>
      <c r="E2" s="1" t="s">
        <v>29</v>
      </c>
      <c r="F2" s="1" t="s">
        <v>30</v>
      </c>
      <c r="G2" s="1" t="s">
        <v>60</v>
      </c>
      <c r="H2" s="5" t="s">
        <v>54</v>
      </c>
    </row>
    <row r="3" spans="1:8" ht="36" customHeight="1" x14ac:dyDescent="0.25">
      <c r="A3" s="22" t="s">
        <v>61</v>
      </c>
      <c r="B3" s="23">
        <f t="shared" ref="B3:B4" si="0">C3*1.3</f>
        <v>253.5</v>
      </c>
      <c r="C3" s="23">
        <f t="shared" ref="C3:C4" si="1">D3*1.3</f>
        <v>195</v>
      </c>
      <c r="D3" s="23">
        <v>150</v>
      </c>
      <c r="E3" s="24" t="s">
        <v>32</v>
      </c>
      <c r="F3" s="24" t="s">
        <v>63</v>
      </c>
      <c r="G3" s="24"/>
    </row>
    <row r="4" spans="1:8" ht="36" customHeight="1" x14ac:dyDescent="0.25">
      <c r="A4" s="22" t="s">
        <v>62</v>
      </c>
      <c r="B4" s="23">
        <f t="shared" si="0"/>
        <v>422.5</v>
      </c>
      <c r="C4" s="23">
        <f t="shared" si="1"/>
        <v>325</v>
      </c>
      <c r="D4" s="16">
        <v>250</v>
      </c>
      <c r="E4" s="17" t="s">
        <v>32</v>
      </c>
      <c r="F4" s="17" t="s">
        <v>64</v>
      </c>
      <c r="G4" s="17"/>
    </row>
    <row r="5" spans="1:8" ht="36" customHeight="1" x14ac:dyDescent="0.25">
      <c r="A5" s="21" t="s">
        <v>31</v>
      </c>
      <c r="B5" s="16">
        <f>C5*1.3</f>
        <v>77.740000000000009</v>
      </c>
      <c r="C5" s="16">
        <f>D5*1.3</f>
        <v>59.800000000000004</v>
      </c>
      <c r="D5" s="16">
        <v>46</v>
      </c>
      <c r="E5" s="17" t="s">
        <v>32</v>
      </c>
      <c r="F5" s="17" t="s">
        <v>33</v>
      </c>
      <c r="G5" s="17" t="s">
        <v>1</v>
      </c>
      <c r="H5" s="3" t="s">
        <v>34</v>
      </c>
    </row>
    <row r="6" spans="1:8" ht="36" customHeight="1" x14ac:dyDescent="0.25">
      <c r="A6" s="21" t="s">
        <v>34</v>
      </c>
      <c r="B6" s="16">
        <f>C6*1.3</f>
        <v>143.65</v>
      </c>
      <c r="C6" s="16">
        <f>D6*1.3</f>
        <v>110.5</v>
      </c>
      <c r="D6" s="16">
        <v>85</v>
      </c>
      <c r="E6" s="17" t="s">
        <v>32</v>
      </c>
      <c r="F6" s="17" t="s">
        <v>35</v>
      </c>
      <c r="G6" s="17" t="s">
        <v>2</v>
      </c>
      <c r="H6" s="2" t="s">
        <v>31</v>
      </c>
    </row>
    <row r="7" spans="1:8" ht="36" customHeight="1" x14ac:dyDescent="0.25">
      <c r="A7" s="21" t="s">
        <v>37</v>
      </c>
      <c r="B7" s="16">
        <f>C7*1.3</f>
        <v>40.56</v>
      </c>
      <c r="C7" s="16">
        <f>D7*1.3</f>
        <v>31.200000000000003</v>
      </c>
      <c r="D7" s="16">
        <v>24</v>
      </c>
      <c r="E7" s="17" t="s">
        <v>32</v>
      </c>
      <c r="F7" s="17" t="s">
        <v>38</v>
      </c>
      <c r="G7" s="17" t="s">
        <v>1</v>
      </c>
      <c r="H7" s="3" t="s">
        <v>39</v>
      </c>
    </row>
    <row r="8" spans="1:8" ht="36" customHeight="1" x14ac:dyDescent="0.25">
      <c r="A8" s="21" t="s">
        <v>39</v>
      </c>
      <c r="B8" s="16">
        <f>C8*1.3</f>
        <v>91.26</v>
      </c>
      <c r="C8" s="16">
        <f>D8*1.3</f>
        <v>70.2</v>
      </c>
      <c r="D8" s="16">
        <v>54</v>
      </c>
      <c r="E8" s="17" t="s">
        <v>32</v>
      </c>
      <c r="F8" s="17" t="s">
        <v>40</v>
      </c>
      <c r="G8" s="17" t="s">
        <v>1</v>
      </c>
      <c r="H8" s="2" t="s">
        <v>37</v>
      </c>
    </row>
    <row r="9" spans="1:8" ht="36" customHeight="1" x14ac:dyDescent="0.25">
      <c r="A9" s="21" t="s">
        <v>41</v>
      </c>
      <c r="B9" s="16">
        <f>C9*1.3</f>
        <v>507</v>
      </c>
      <c r="C9" s="16">
        <f>D9*1.3</f>
        <v>390</v>
      </c>
      <c r="D9" s="16">
        <v>300</v>
      </c>
      <c r="E9" s="17" t="s">
        <v>42</v>
      </c>
      <c r="F9" s="17" t="s">
        <v>43</v>
      </c>
      <c r="G9" s="17" t="s">
        <v>36</v>
      </c>
    </row>
    <row r="10" spans="1:8" ht="36" customHeight="1" x14ac:dyDescent="0.25">
      <c r="A10" s="21" t="s">
        <v>44</v>
      </c>
      <c r="B10" s="16">
        <f>C10*1.3</f>
        <v>253.5</v>
      </c>
      <c r="C10" s="16">
        <f>D10*1.3</f>
        <v>195</v>
      </c>
      <c r="D10" s="16">
        <v>150</v>
      </c>
      <c r="E10" s="17" t="s">
        <v>42</v>
      </c>
      <c r="F10" s="17" t="s">
        <v>45</v>
      </c>
      <c r="G10" s="17" t="s">
        <v>1</v>
      </c>
    </row>
    <row r="11" spans="1:8" ht="36" customHeight="1" x14ac:dyDescent="0.25">
      <c r="A11" s="21" t="s">
        <v>46</v>
      </c>
      <c r="B11" s="16">
        <f>C11*1.3</f>
        <v>33.800000000000004</v>
      </c>
      <c r="C11" s="16">
        <f>D11*1.3</f>
        <v>26</v>
      </c>
      <c r="D11" s="16">
        <v>20</v>
      </c>
      <c r="E11" s="17" t="s">
        <v>32</v>
      </c>
      <c r="F11" s="17" t="s">
        <v>47</v>
      </c>
      <c r="G11" s="17" t="s">
        <v>48</v>
      </c>
    </row>
    <row r="12" spans="1:8" x14ac:dyDescent="0.25">
      <c r="A12" s="21" t="s">
        <v>49</v>
      </c>
      <c r="B12" s="16">
        <f>C12*1.3</f>
        <v>304.2</v>
      </c>
      <c r="C12" s="16">
        <f>D12*1.3</f>
        <v>234</v>
      </c>
      <c r="D12" s="16">
        <v>180</v>
      </c>
      <c r="E12" s="17" t="s">
        <v>42</v>
      </c>
      <c r="F12" s="17" t="s">
        <v>50</v>
      </c>
      <c r="G12" s="17" t="s">
        <v>36</v>
      </c>
    </row>
    <row r="13" spans="1:8" x14ac:dyDescent="0.25">
      <c r="A13" s="21" t="s">
        <v>51</v>
      </c>
      <c r="B13" s="16">
        <f>C13*1.3</f>
        <v>33.800000000000004</v>
      </c>
      <c r="C13" s="16">
        <f>D13*1.3</f>
        <v>26</v>
      </c>
      <c r="D13" s="16">
        <v>20</v>
      </c>
      <c r="E13" s="17" t="s">
        <v>32</v>
      </c>
      <c r="F13" s="17" t="s">
        <v>52</v>
      </c>
      <c r="G13" s="17" t="s">
        <v>2</v>
      </c>
    </row>
    <row r="14" spans="1:8" x14ac:dyDescent="0.25">
      <c r="A14" s="18" t="s">
        <v>55</v>
      </c>
      <c r="B14" s="19">
        <f>C14*1.3</f>
        <v>16.900000000000002</v>
      </c>
      <c r="C14" s="19">
        <f>D14*1.3</f>
        <v>13</v>
      </c>
      <c r="D14" s="19">
        <v>10</v>
      </c>
      <c r="E14" s="20" t="s">
        <v>32</v>
      </c>
      <c r="F14" s="20" t="s">
        <v>57</v>
      </c>
      <c r="G14" s="20" t="s">
        <v>1</v>
      </c>
      <c r="H14" s="18" t="s">
        <v>56</v>
      </c>
    </row>
    <row r="15" spans="1:8" x14ac:dyDescent="0.25">
      <c r="A15" s="18" t="s">
        <v>56</v>
      </c>
      <c r="B15" s="16">
        <f>C15*1.3</f>
        <v>33.800000000000004</v>
      </c>
      <c r="C15" s="16">
        <f>D15*1.3</f>
        <v>26</v>
      </c>
      <c r="D15" s="16">
        <v>20</v>
      </c>
      <c r="E15" s="2" t="s">
        <v>32</v>
      </c>
      <c r="F15" s="20" t="s">
        <v>57</v>
      </c>
      <c r="G15" s="17" t="s">
        <v>2</v>
      </c>
      <c r="H15" s="18" t="s">
        <v>55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9ec528-41d3-4836-8f6b-0743c16e6cb0" xsi:nil="true"/>
    <Description xmlns="5a742a26-9609-45b0-a31a-1bf5d3db358d" xsi:nil="true"/>
    <lcf76f155ced4ddcb4097134ff3c332f xmlns="5a742a26-9609-45b0-a31a-1bf5d3db358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B8C4F055EE846A038853815B20E38" ma:contentTypeVersion="12" ma:contentTypeDescription="Create a new document." ma:contentTypeScope="" ma:versionID="0409d417f786482077feafe950cf5da4">
  <xsd:schema xmlns:xsd="http://www.w3.org/2001/XMLSchema" xmlns:xs="http://www.w3.org/2001/XMLSchema" xmlns:p="http://schemas.microsoft.com/office/2006/metadata/properties" xmlns:ns2="5a742a26-9609-45b0-a31a-1bf5d3db358d" xmlns:ns3="fe9ec528-41d3-4836-8f6b-0743c16e6cb0" targetNamespace="http://schemas.microsoft.com/office/2006/metadata/properties" ma:root="true" ma:fieldsID="8aa2d21619119cd6a15dccd07ab451b6" ns2:_="" ns3:_="">
    <xsd:import namespace="5a742a26-9609-45b0-a31a-1bf5d3db358d"/>
    <xsd:import namespace="fe9ec528-41d3-4836-8f6b-0743c16e6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42a26-9609-45b0-a31a-1bf5d3db35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63a5a08-bdb1-493c-bc0f-6a0267861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18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9ec528-41d3-4836-8f6b-0743c16e6c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ce0f5f5-315e-4b5f-9dcc-0630983df14c}" ma:internalName="TaxCatchAll" ma:showField="CatchAllData" ma:web="fe9ec528-41d3-4836-8f6b-0743c16e6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F89AE4-F4DF-424B-AFAA-CC3258D0CC2B}">
  <ds:schemaRefs>
    <ds:schemaRef ds:uri="http://schemas.microsoft.com/office/2006/metadata/properties"/>
    <ds:schemaRef ds:uri="http://schemas.microsoft.com/office/infopath/2007/PartnerControls"/>
    <ds:schemaRef ds:uri="fe9ec528-41d3-4836-8f6b-0743c16e6cb0"/>
    <ds:schemaRef ds:uri="5a742a26-9609-45b0-a31a-1bf5d3db358d"/>
  </ds:schemaRefs>
</ds:datastoreItem>
</file>

<file path=customXml/itemProps2.xml><?xml version="1.0" encoding="utf-8"?>
<ds:datastoreItem xmlns:ds="http://schemas.openxmlformats.org/officeDocument/2006/customXml" ds:itemID="{3BECD16C-57EC-4127-A760-2EA89366A5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E68EE0-3F19-4428-B4FC-74D7BF20EB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742a26-9609-45b0-a31a-1bf5d3db358d"/>
    <ds:schemaRef ds:uri="fe9ec528-41d3-4836-8f6b-0743c16e6c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Packages</vt:lpstr>
      <vt:lpstr>Cost and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BLOEMBERGEN Maurita</cp:lastModifiedBy>
  <dcterms:created xsi:type="dcterms:W3CDTF">2026-05-06T09:26:42Z</dcterms:created>
  <dcterms:modified xsi:type="dcterms:W3CDTF">2026-05-06T14:56:02Z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0x010100764B8C4F055EE846A038853815B20E38</vt:lpwstr>
  </property>
  <property fmtid="{D5CDD505-2E9C-101B-9397-08002B2CF9AE}" pid="3" name="MediaServiceImageTags">
    <vt:lpwstr/>
  </property>
</Properties>
</file>